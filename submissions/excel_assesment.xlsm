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AE6600E7-7A62-396C-DE95-9942FA9DD81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rsh Agarwal\MapUp-Data-Assessment-F\Submissions\"/>
    </mc:Choice>
  </mc:AlternateContent>
  <xr:revisionPtr revIDLastSave="0" documentId="13_ncr:1_{A244A858-5AFC-4AED-ADC2-78DCE3C9C99C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_xlnm._FilterDatabase" localSheetId="3" hidden="1">Task_2!$A$5:$F$30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C10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H41" i="1"/>
  <c r="C22" i="19" a="1"/>
  <c r="C22" i="19"/>
  <c r="C35" i="20" a="1"/>
  <c r="C35" i="20" s="1"/>
  <c r="C24" i="20" a="1"/>
  <c r="C24" i="20" s="1"/>
  <c r="C25" i="20" a="1"/>
  <c r="C25" i="20"/>
  <c r="C26" i="20" a="1"/>
  <c r="C26" i="20" s="1"/>
  <c r="C27" i="20" a="1"/>
  <c r="C27" i="20"/>
  <c r="C28" i="20" a="1"/>
  <c r="C28" i="20" s="1"/>
  <c r="C29" i="20" a="1"/>
  <c r="C29" i="20"/>
  <c r="C30" i="20" a="1"/>
  <c r="C30" i="20" s="1"/>
  <c r="C31" i="20" a="1"/>
  <c r="C31" i="20"/>
  <c r="C32" i="20" a="1"/>
  <c r="C32" i="20" s="1"/>
  <c r="C33" i="20" a="1"/>
  <c r="C33" i="20"/>
  <c r="C34" i="20" a="1"/>
  <c r="C34" i="20" s="1"/>
  <c r="F6" i="18"/>
  <c r="E6" i="18"/>
  <c r="D6" i="18"/>
  <c r="C6" i="18"/>
  <c r="B6" i="18"/>
  <c r="E28" i="18" l="1"/>
  <c r="F28" i="18"/>
  <c r="F30" i="18"/>
  <c r="F29" i="18"/>
  <c r="E29" i="18"/>
  <c r="E30" i="18"/>
  <c r="D28" i="18"/>
  <c r="D30" i="18"/>
  <c r="D29" i="18"/>
  <c r="C28" i="18"/>
  <c r="C30" i="18"/>
  <c r="C29" i="18"/>
  <c r="B28" i="18"/>
  <c r="B29" i="18"/>
  <c r="B3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<sst xmlns="http://schemas.openxmlformats.org/spreadsheetml/2006/main" count="408" uniqueCount="185">
  <si>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</si>
  <si>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</si>
  <si>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</si>
  <si>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</si>
  <si>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</si>
  <si>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</si>
  <si>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</si>
  <si>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</si>
  <si>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</si>
  <si>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</si>
  <si>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</si>
  <si>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</si>
  <si>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</si>
  <si>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</si>
  <si>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</si>
  <si>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</si>
  <si>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</si>
  <si>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</si>
  <si>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</si>
  <si>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</si>
  <si>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</si>
  <si>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</si>
  <si>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</si>
  <si>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</si>
  <si>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</si>
  <si>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</si>
  <si>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</si>
  <si>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</si>
  <si>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</si>
  <si>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</si>
  <si>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</si>
  <si>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</si>
  <si>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</si>
  <si>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</si>
  <si>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</si>
  <si>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</si>
  <si>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</si>
  <si>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</si>
  <si>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</si>
  <si>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</si>
  <si>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</si>
  <si>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</si>
  <si>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</si>
  <si>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</si>
  <si>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</si>
  <si>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</si>
  <si>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</si>
  <si>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</si>
  <si>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</si>
  <si>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</si>
  <si>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</si>
  <si>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</si>
  <si>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</si>
  <si>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</si>
  <si>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</si>
  <si>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</si>
  <si>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</si>
  <si>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</si>
  <si>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</si>
  <si>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</si>
  <si>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</si>
  <si>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</si>
  <si>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</si>
  <si>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</si>
  <si>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</si>
  <si>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</si>
  <si>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</si>
  <si>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</si>
  <si>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</si>
  <si>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</si>
  <si>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</si>
  <si>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</si>
  <si>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</si>
  <si>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</si>
  <si>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</si>
  <si>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</si>
  <si>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</si>
  <si>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</si>
  <si>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</si>
  <si>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</si>
  <si>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</si>
  <si>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</si>
  <si>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</si>
  <si>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</si>
  <si>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</si>
  <si>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</si>
  <si>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</si>
  <si>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</si>
  <si>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</si>
  <si>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</si>
  <si>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</si>
  <si>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</si>
  <si>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</si>
  <si>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</si>
  <si>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</si>
  <si>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</si>
  <si>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</si>
  <si>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</si>
  <si>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</si>
  <si>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</si>
  <si>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</si>
  <si>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</si>
  <si>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</si>
  <si>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</si>
  <si>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</si>
  <si>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</si>
  <si>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</si>
  <si>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</si>
  <si>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</si>
  <si>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</si>
  <si>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</si>
  <si>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</si>
  <si>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</si>
  <si>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</si>
  <si>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</si>
  <si>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</si>
  <si>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</si>
  <si>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</si>
  <si>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</si>
  <si>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</si>
  <si>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</si>
  <si>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</si>
  <si>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</si>
  <si>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</si>
  <si>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</si>
  <si>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</si>
  <si>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</si>
  <si>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</si>
  <si>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</si>
  <si>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</si>
  <si>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</si>
  <si>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</si>
  <si>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</si>
  <si>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</si>
  <si>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</si>
  <si>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</si>
  <si>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</si>
  <si>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</si>
  <si>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</si>
  <si>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</si>
  <si>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</si>
  <si>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</si>
  <si>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</si>
  <si>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</si>
  <si>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</si>
  <si>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</si>
  <si>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</si>
  <si>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</si>
  <si>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</si>
  <si>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</si>
  <si>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</si>
  <si>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</si>
  <si>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</si>
  <si>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</si>
  <si>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</si>
  <si>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</si>
  <si>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</si>
  <si>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</si>
  <si>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</si>
  <si>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</si>
  <si>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</si>
  <si>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</si>
  <si>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</si>
  <si>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</si>
  <si>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</si>
  <si>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</si>
  <si>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</si>
  <si>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</si>
  <si>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</si>
  <si>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</si>
  <si>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</si>
  <si>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</si>
  <si>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</si>
  <si>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</si>
  <si>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</si>
  <si>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</si>
  <si>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dates</t>
  </si>
  <si>
    <t>SUMIF</t>
  </si>
  <si>
    <r>
      <t>The Delimited method is one that </t>
    </r>
    <r>
      <rPr>
        <sz val="12"/>
        <color rgb="FF040C28"/>
        <rFont val="Arial"/>
        <family val="2"/>
      </rPr>
      <t>uses a special character to tell Excel where to split the values in cells into two or more columns</t>
    </r>
    <r>
      <rPr>
        <sz val="12"/>
        <color rgb="FF4D5156"/>
        <rFont val="Arial"/>
        <family val="2"/>
      </rPr>
      <t>. A common need for this is to split a column that has first name and last name information.</t>
    </r>
    <r>
      <rPr>
        <sz val="14"/>
        <color rgb="FF000000"/>
        <rFont val="Calibri"/>
        <family val="2"/>
        <scheme val="minor"/>
      </rPr>
      <t xml:space="preserve"> I used - symbol to break the cell in 4 columns.</t>
    </r>
  </si>
  <si>
    <t>Xlookup &amp; Vlookup</t>
  </si>
  <si>
    <r>
      <t>The XLOOKUP function </t>
    </r>
    <r>
      <rPr>
        <sz val="10"/>
        <color rgb="FF040C28"/>
        <rFont val="Arial"/>
        <family val="2"/>
      </rPr>
      <t>searches a range or an array, and then returns the item corresponding to the first match it finds</t>
    </r>
    <r>
      <rPr>
        <sz val="10"/>
        <color rgb="FF4D5156"/>
        <rFont val="Arial"/>
        <family val="2"/>
      </rPr>
      <t>. If no match exists, then XLOOKUP can return the closest (approximate) match.VLOOKUP function says: =VLOOKUP(What you want to look up, where you want to look for it, the column number in the range containing the value to return, return an Approximate or Exact match – indicated as 1/TRUE, or 0/FALSE).</t>
    </r>
  </si>
  <si>
    <t>Text to column: Dlimit method</t>
  </si>
  <si>
    <t>SUM(IFERROR(C12:C21,20))</t>
  </si>
  <si>
    <t>we treet #N/A as a error, whenever #N/A comes in column it will be automatically replaced by 20, and by sum functions all will be added finally.</t>
  </si>
  <si>
    <t>we use vlookup function to fill the empty cell values, then we use min,max and average function to calculate minimum,maximum and average value for each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</si>
</sst>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4D5156"/>
      <name val="Arial"/>
      <family val="2"/>
    </font>
    <font>
      <sz val="12"/>
      <color rgb="FF040C28"/>
      <name val="Arial"/>
      <family val="2"/>
    </font>
    <font>
      <sz val="10"/>
      <color rgb="FF040C28"/>
      <name val="Arial"/>
      <family val="2"/>
    </font>
    <font>
      <sz val="10"/>
      <color rgb="FF4D5156"/>
      <name val="Arial"/>
      <family val="2"/>
    </font>
    <font>
      <b/>
      <sz val="12"/>
      <color rgb="FF1E1E1E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6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14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7" fillId="0" borderId="7" xfId="0" applyFont="1" applyBorder="1"/>
    <xf numFmtId="0" fontId="7" fillId="0" borderId="0" xfId="0" applyFont="1" applyAlignment="1"/>
    <xf numFmtId="0" fontId="3" fillId="0" borderId="0" xfId="0" applyFont="1" applyAlignment="1"/>
    <xf numFmtId="0" fontId="8" fillId="0" borderId="0" xfId="0" applyFont="1" applyAlignment="1">
      <alignment horizont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8" sqref="A8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="57" zoomScaleNormal="100" workbookViewId="0">
      <pane ySplit="1" topLeftCell="A2" activePane="bottomLeft" state="frozen"/>
      <selection pane="bottomLeft" activeCell="H41" sqref="H4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1093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44140625" style="45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176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3">
        <v>-1</v>
      </c>
      <c r="K2" s="43">
        <v>-1</v>
      </c>
      <c r="L2" s="43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3">
        <v>-1</v>
      </c>
      <c r="K3" s="43">
        <v>-1</v>
      </c>
      <c r="L3" s="43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3">
        <v>-1</v>
      </c>
      <c r="K4" s="43">
        <v>-1</v>
      </c>
      <c r="L4" s="43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3">
        <v>-1</v>
      </c>
      <c r="K5" s="43">
        <v>-1</v>
      </c>
      <c r="L5" s="43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3">
        <v>-1</v>
      </c>
      <c r="K6" s="43">
        <v>-1</v>
      </c>
      <c r="L6" s="43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3">
        <v>-1</v>
      </c>
      <c r="K7" s="43">
        <v>-1</v>
      </c>
      <c r="L7" s="43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3">
        <v>-1</v>
      </c>
      <c r="K8" s="43">
        <v>-1</v>
      </c>
      <c r="L8" s="43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3">
        <v>-1</v>
      </c>
      <c r="K9" s="43">
        <v>-1</v>
      </c>
      <c r="L9" s="43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3">
        <v>-1</v>
      </c>
      <c r="K10" s="43">
        <v>-1</v>
      </c>
      <c r="L10" s="43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3">
        <v>-1</v>
      </c>
      <c r="K11" s="43">
        <v>-1</v>
      </c>
      <c r="L11" s="43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3">
        <v>-1</v>
      </c>
      <c r="K13" s="43">
        <v>-1</v>
      </c>
      <c r="L13" s="43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3">
        <v>-1</v>
      </c>
      <c r="K14" s="43">
        <v>-1</v>
      </c>
      <c r="L14" s="43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3">
        <v>-1</v>
      </c>
      <c r="K15" s="43">
        <v>-1</v>
      </c>
      <c r="L15" s="43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3">
        <v>-1</v>
      </c>
      <c r="K16" s="43">
        <v>-1</v>
      </c>
      <c r="L16" s="43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3">
        <v>-1</v>
      </c>
      <c r="K17" s="43">
        <v>-1</v>
      </c>
      <c r="L17" s="43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3">
        <v>-1</v>
      </c>
      <c r="K18" s="43">
        <v>-1</v>
      </c>
      <c r="L18" s="43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3">
        <v>-1</v>
      </c>
      <c r="K19" s="43">
        <v>-1</v>
      </c>
      <c r="L19" s="43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3">
        <v>-1</v>
      </c>
      <c r="K20" s="43">
        <v>-1</v>
      </c>
      <c r="L20" s="43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3">
        <v>-1</v>
      </c>
      <c r="K21" s="43">
        <v>-1</v>
      </c>
      <c r="L21" s="43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3">
        <v>-1</v>
      </c>
      <c r="K22" s="43">
        <v>-1</v>
      </c>
      <c r="L22" s="43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3">
        <v>-1</v>
      </c>
      <c r="K23" s="43">
        <v>-1</v>
      </c>
      <c r="L23" s="43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3">
        <v>-1</v>
      </c>
      <c r="K24" s="43">
        <v>-1</v>
      </c>
      <c r="L24" s="43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3">
        <v>-1</v>
      </c>
      <c r="K25" s="43">
        <v>-1</v>
      </c>
      <c r="L25" s="43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3">
        <v>-1</v>
      </c>
      <c r="K27" s="43">
        <v>-1</v>
      </c>
      <c r="L27" s="43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3">
        <v>-1</v>
      </c>
      <c r="K28" s="43">
        <v>-1</v>
      </c>
      <c r="L28" s="43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3">
        <v>-1</v>
      </c>
      <c r="K29" s="43">
        <v>-1</v>
      </c>
      <c r="L29" s="43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3">
        <v>-1</v>
      </c>
      <c r="H30" s="43">
        <v>-1</v>
      </c>
      <c r="I30" s="43">
        <v>-1</v>
      </c>
      <c r="J30" s="43">
        <v>-1</v>
      </c>
      <c r="K30" s="43">
        <v>-1</v>
      </c>
      <c r="L30" s="43">
        <v>-1</v>
      </c>
      <c r="M30" s="43">
        <v>-1</v>
      </c>
      <c r="N30" s="43">
        <v>-1</v>
      </c>
      <c r="O30" s="43">
        <v>-1</v>
      </c>
      <c r="P30" s="43">
        <v>-1</v>
      </c>
      <c r="Q30" s="43">
        <v>-1</v>
      </c>
      <c r="R30" s="43">
        <v>-1</v>
      </c>
      <c r="S30" s="43">
        <v>-1</v>
      </c>
      <c r="T30" s="43">
        <v>-1</v>
      </c>
      <c r="U30" s="43">
        <v>-1</v>
      </c>
      <c r="V30" s="43">
        <v>-1</v>
      </c>
      <c r="W30" s="43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3">
        <v>-1</v>
      </c>
      <c r="K31" s="43">
        <v>-1</v>
      </c>
      <c r="L31" s="43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3">
        <v>-1</v>
      </c>
      <c r="H32" s="43">
        <v>-1</v>
      </c>
      <c r="I32" s="43">
        <v>-1</v>
      </c>
      <c r="J32" s="43">
        <v>-1</v>
      </c>
      <c r="K32" s="43">
        <v>-1</v>
      </c>
      <c r="L32" s="43">
        <v>-1</v>
      </c>
      <c r="M32" s="43">
        <v>-1</v>
      </c>
      <c r="N32" s="43">
        <v>-1</v>
      </c>
      <c r="O32" s="43">
        <v>-1</v>
      </c>
      <c r="P32" s="43">
        <v>-1</v>
      </c>
      <c r="Q32" s="43">
        <v>-1</v>
      </c>
      <c r="R32" s="43">
        <v>-1</v>
      </c>
      <c r="S32" s="43">
        <v>-1</v>
      </c>
      <c r="T32" s="43">
        <v>-1</v>
      </c>
      <c r="U32" s="43">
        <v>-1</v>
      </c>
      <c r="V32" s="43">
        <v>-1</v>
      </c>
      <c r="W32" s="43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3">
        <v>-1</v>
      </c>
      <c r="K33" s="43">
        <v>-1</v>
      </c>
      <c r="L33" s="43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3">
        <v>-1</v>
      </c>
      <c r="K34" s="43">
        <v>-1</v>
      </c>
      <c r="L34" s="43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3">
        <v>-1</v>
      </c>
      <c r="K35" s="43">
        <v>-1</v>
      </c>
      <c r="L35" s="43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3">
        <v>-1</v>
      </c>
      <c r="K36" s="43">
        <v>-1</v>
      </c>
      <c r="L36" s="43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3">
        <v>-1</v>
      </c>
      <c r="K37" s="43">
        <v>-1</v>
      </c>
      <c r="L37" s="43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3">
        <v>-1</v>
      </c>
      <c r="K38" s="43">
        <v>-1</v>
      </c>
      <c r="L38" s="43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3">
        <v>-1</v>
      </c>
      <c r="K39" s="43">
        <v>-1</v>
      </c>
      <c r="L39" s="43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3">
        <v>-1</v>
      </c>
      <c r="K40" s="43">
        <v>-1</v>
      </c>
      <c r="L40" s="43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ht="19.2" x14ac:dyDescent="0.45">
      <c r="H41" s="50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 G42:W1048576 G41 I41:W41">
    <cfRule type="cellIs" dxfId="1" priority="2" operator="equal">
      <formula>-1</formula>
    </cfRule>
  </conditionalFormatting>
  <conditionalFormatting sqref="G2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0" sqref="D1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4414062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6" t="s">
        <v>177</v>
      </c>
      <c r="E5" s="1">
        <v>10</v>
      </c>
    </row>
    <row r="6" spans="1:5" x14ac:dyDescent="0.3">
      <c r="A6" s="6">
        <v>4</v>
      </c>
      <c r="B6" s="2" t="s">
        <v>105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23" sqref="D23"/>
    </sheetView>
  </sheetViews>
  <sheetFormatPr defaultColWidth="11" defaultRowHeight="13.8" x14ac:dyDescent="0.3"/>
  <cols>
    <col min="1" max="1" width="18.4414062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53" t="s">
        <v>184</v>
      </c>
      <c r="C3" s="54"/>
      <c r="D3" s="54"/>
      <c r="E3" s="54"/>
      <c r="F3" s="54"/>
      <c r="G3" s="54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VLOOKUP(A6,Dataset!$A$2:$G$40,7,0)</f>
        <v>2.7</v>
      </c>
      <c r="C6" s="12">
        <f>VLOOKUP(A6,Dataset!$A$2:$N$40,14,0)</f>
        <v>7.6</v>
      </c>
      <c r="D6" s="12">
        <f>VLOOKUP(A6,Dataset!$A$2:$R$40,18,0)</f>
        <v>4.2</v>
      </c>
      <c r="E6" s="12">
        <f>VLOOKUP(A6,Dataset!$A$2:$T$40,20,0)</f>
        <v>8.9</v>
      </c>
      <c r="F6" s="8">
        <f>VLOOKUP(A6,Dataset!$A$2:$V$40,22,0)</f>
        <v>4.2</v>
      </c>
    </row>
    <row r="7" spans="1:7" ht="14.4" x14ac:dyDescent="0.3">
      <c r="A7" s="7" t="s">
        <v>4</v>
      </c>
      <c r="B7" s="52">
        <f>VLOOKUP(A7,Dataset!$A$2:$G$40,7,0)</f>
        <v>2.7</v>
      </c>
      <c r="C7" s="12">
        <f>VLOOKUP(A7,Dataset!$A$2:$N$40,14,0)</f>
        <v>7.6</v>
      </c>
      <c r="D7" s="12">
        <f>VLOOKUP(A7,Dataset!$A$2:$R$40,18,0)</f>
        <v>4.2</v>
      </c>
      <c r="E7" s="12">
        <f>VLOOKUP(A7,Dataset!$A$2:$T$40,20,0)</f>
        <v>8.9</v>
      </c>
      <c r="F7" s="8">
        <f>VLOOKUP(A7,Dataset!$A$2:$V$40,22,0)</f>
        <v>4.2</v>
      </c>
    </row>
    <row r="8" spans="1:7" ht="14.4" x14ac:dyDescent="0.3">
      <c r="A8" s="7" t="s">
        <v>7</v>
      </c>
      <c r="B8" s="12">
        <f>VLOOKUP(A8,Dataset!$A$2:$G$40,7,0)</f>
        <v>3.6</v>
      </c>
      <c r="C8" s="12">
        <f>VLOOKUP(A8,Dataset!$A$2:$N$40,14,0)</f>
        <v>11.1</v>
      </c>
      <c r="D8" s="12">
        <f>VLOOKUP(A8,Dataset!$A$2:$R$40,18,0)</f>
        <v>5.8</v>
      </c>
      <c r="E8" s="12">
        <f>VLOOKUP(A8,Dataset!$A$2:$T$40,20,0)</f>
        <v>12.2</v>
      </c>
      <c r="F8" s="8">
        <f>VLOOKUP(A8,Dataset!$A$2:$V$40,22,0)</f>
        <v>5.8</v>
      </c>
    </row>
    <row r="9" spans="1:7" ht="14.4" x14ac:dyDescent="0.3">
      <c r="A9" s="7" t="s">
        <v>8</v>
      </c>
      <c r="B9" s="12">
        <f>VLOOKUP(A9,Dataset!$A$2:$G$40,7,0)</f>
        <v>4.9000000000000004</v>
      </c>
      <c r="C9" s="12">
        <f>VLOOKUP(A9,Dataset!$A$2:$N$40,14,0)</f>
        <v>13.3</v>
      </c>
      <c r="D9" s="12">
        <f>VLOOKUP(A9,Dataset!$A$2:$R$40,18,0)</f>
        <v>8.1</v>
      </c>
      <c r="E9" s="12">
        <f>VLOOKUP(A9,Dataset!$A$2:$T$40,20,0)</f>
        <v>17</v>
      </c>
      <c r="F9" s="8">
        <f>VLOOKUP(A9,Dataset!$A$2:$V$40,22,0)</f>
        <v>8.1</v>
      </c>
    </row>
    <row r="10" spans="1:7" ht="14.4" x14ac:dyDescent="0.3">
      <c r="A10" s="7" t="s">
        <v>11</v>
      </c>
      <c r="B10" s="12">
        <f>VLOOKUP(A10,Dataset!$A$2:$G$40,7,0)</f>
        <v>9.4</v>
      </c>
      <c r="C10" s="12">
        <f>VLOOKUP(A10,Dataset!$A$2:$N$40,14,0)</f>
        <v>28.3</v>
      </c>
      <c r="D10" s="12">
        <f>VLOOKUP(A10,Dataset!$A$2:$R$40,18,0)</f>
        <v>16.100000000000001</v>
      </c>
      <c r="E10" s="12">
        <f>VLOOKUP(A10,Dataset!$A$2:$T$40,20,0)</f>
        <v>32.799999999999997</v>
      </c>
      <c r="F10" s="8">
        <f>VLOOKUP(A10,Dataset!$A$2:$V$40,22,0)</f>
        <v>16.100000000000001</v>
      </c>
    </row>
    <row r="11" spans="1:7" ht="14.4" x14ac:dyDescent="0.3">
      <c r="A11" s="7" t="s">
        <v>12</v>
      </c>
      <c r="B11" s="12">
        <f>VLOOKUP(A11,Dataset!$A$2:$G$40,7,0)</f>
        <v>11.6</v>
      </c>
      <c r="C11" s="12">
        <f>VLOOKUP(A11,Dataset!$A$2:$N$40,14,0)</f>
        <v>35.200000000000003</v>
      </c>
      <c r="D11" s="12">
        <f>VLOOKUP(A11,Dataset!$A$2:$R$40,18,0)</f>
        <v>21.3</v>
      </c>
      <c r="E11" s="12">
        <f>VLOOKUP(A11,Dataset!$A$2:$T$40,20,0)</f>
        <v>43</v>
      </c>
      <c r="F11" s="8">
        <f>VLOOKUP(A11,Dataset!$A$2:$V$40,22,0)</f>
        <v>21.3</v>
      </c>
    </row>
    <row r="12" spans="1:7" ht="14.4" x14ac:dyDescent="0.3">
      <c r="A12" s="7" t="s">
        <v>14</v>
      </c>
      <c r="B12" s="12">
        <f>VLOOKUP(A12,Dataset!$A$2:$G$40,7,0)</f>
        <v>18.399999999999999</v>
      </c>
      <c r="C12" s="12">
        <f>VLOOKUP(A12,Dataset!$A$2:$N$40,14,0)</f>
        <v>55.6</v>
      </c>
      <c r="D12" s="12">
        <f>VLOOKUP(A12,Dataset!$A$2:$R$40,18,0)</f>
        <v>33.799999999999997</v>
      </c>
      <c r="E12" s="12">
        <f>VLOOKUP(A12,Dataset!$A$2:$T$40,20,0)</f>
        <v>67.900000000000006</v>
      </c>
      <c r="F12" s="8">
        <f>VLOOKUP(A12,Dataset!$A$2:$V$40,22,0)</f>
        <v>33.799999999999997</v>
      </c>
    </row>
    <row r="13" spans="1:7" ht="14.4" x14ac:dyDescent="0.3">
      <c r="A13" s="7" t="s">
        <v>15</v>
      </c>
      <c r="B13" s="12">
        <f>VLOOKUP(A13,Dataset!$A$2:$G$40,7,0)</f>
        <v>0</v>
      </c>
      <c r="C13" s="12">
        <f>VLOOKUP(A13,Dataset!$A$2:$N$40,14,0)</f>
        <v>0</v>
      </c>
      <c r="D13" s="12">
        <f>VLOOKUP(A13,Dataset!$A$2:$R$40,18,0)</f>
        <v>0</v>
      </c>
      <c r="E13" s="12">
        <f>VLOOKUP(A13,Dataset!$A$2:$T$40,20,0)</f>
        <v>0</v>
      </c>
      <c r="F13" s="8">
        <f>VLOOKUP(A13,Dataset!$A$2:$V$40,22,0)</f>
        <v>0</v>
      </c>
    </row>
    <row r="14" spans="1:7" ht="14.4" x14ac:dyDescent="0.3">
      <c r="A14" s="7" t="s">
        <v>16</v>
      </c>
      <c r="B14" s="12">
        <f>VLOOKUP(A14,Dataset!$A$2:$G$40,7,0)</f>
        <v>21.9</v>
      </c>
      <c r="C14" s="12">
        <f>VLOOKUP(A14,Dataset!$A$2:$N$40,14,0)</f>
        <v>61.5</v>
      </c>
      <c r="D14" s="12">
        <f>VLOOKUP(A14,Dataset!$A$2:$R$40,18,0)</f>
        <v>40.1</v>
      </c>
      <c r="E14" s="12">
        <f>VLOOKUP(A14,Dataset!$A$2:$T$40,20,0)</f>
        <v>76.599999999999994</v>
      </c>
      <c r="F14" s="8">
        <f>VLOOKUP(A14,Dataset!$A$2:$V$40,22,0)</f>
        <v>40.1</v>
      </c>
    </row>
    <row r="15" spans="1:7" ht="14.4" x14ac:dyDescent="0.3">
      <c r="A15" s="7" t="s">
        <v>18</v>
      </c>
      <c r="B15" s="12">
        <f>VLOOKUP(A15,Dataset!$A$2:$G$40,7,0)</f>
        <v>26.8</v>
      </c>
      <c r="C15" s="12">
        <f>VLOOKUP(A15,Dataset!$A$2:$N$40,14,0)</f>
        <v>79.599999999999994</v>
      </c>
      <c r="D15" s="12">
        <f>VLOOKUP(A15,Dataset!$A$2:$R$40,18,0)</f>
        <v>47.9</v>
      </c>
      <c r="E15" s="12">
        <f>VLOOKUP(A15,Dataset!$A$2:$T$40,20,0)</f>
        <v>96.8</v>
      </c>
      <c r="F15" s="8">
        <f>VLOOKUP(A15,Dataset!$A$2:$V$40,22,0)</f>
        <v>47.9</v>
      </c>
    </row>
    <row r="16" spans="1:7" ht="14.4" x14ac:dyDescent="0.3">
      <c r="A16" s="7" t="s">
        <v>20</v>
      </c>
      <c r="B16" s="12">
        <f>VLOOKUP(A16,Dataset!$A$2:$G$40,7,0)</f>
        <v>28.5</v>
      </c>
      <c r="C16" s="12">
        <f>VLOOKUP(A16,Dataset!$A$2:$N$40,14,0)</f>
        <v>85.4</v>
      </c>
      <c r="D16" s="12">
        <f>VLOOKUP(A16,Dataset!$A$2:$R$40,18,0)</f>
        <v>52.3</v>
      </c>
      <c r="E16" s="12">
        <f>VLOOKUP(A16,Dataset!$A$2:$T$40,20,0)</f>
        <v>106.1</v>
      </c>
      <c r="F16" s="8">
        <f>VLOOKUP(A16,Dataset!$A$2:$V$40,22,0)</f>
        <v>52.3</v>
      </c>
    </row>
    <row r="17" spans="1:6" ht="14.4" x14ac:dyDescent="0.3">
      <c r="A17" s="7" t="s">
        <v>22</v>
      </c>
      <c r="B17" s="12">
        <f>VLOOKUP(A17,Dataset!$A$2:$G$40,7,0)</f>
        <v>30.7</v>
      </c>
      <c r="C17" s="12">
        <f>VLOOKUP(A17,Dataset!$A$2:$N$40,14,0)</f>
        <v>92.1</v>
      </c>
      <c r="D17" s="12">
        <f>VLOOKUP(A17,Dataset!$A$2:$R$40,18,0)</f>
        <v>57</v>
      </c>
      <c r="E17" s="12">
        <f>VLOOKUP(A17,Dataset!$A$2:$T$40,20,0)</f>
        <v>115.1</v>
      </c>
      <c r="F17" s="8">
        <f>VLOOKUP(A17,Dataset!$A$2:$V$40,22,0)</f>
        <v>57</v>
      </c>
    </row>
    <row r="18" spans="1:6" ht="14.4" x14ac:dyDescent="0.3">
      <c r="A18" s="7" t="s">
        <v>23</v>
      </c>
      <c r="B18" s="12">
        <f>VLOOKUP(A18,Dataset!$A$2:$G$40,7,0)</f>
        <v>33.799999999999997</v>
      </c>
      <c r="C18" s="12">
        <f>VLOOKUP(A18,Dataset!$A$2:$N$40,14,0)</f>
        <v>101.3</v>
      </c>
      <c r="D18" s="12">
        <f>VLOOKUP(A18,Dataset!$A$2:$R$40,18,0)</f>
        <v>61.4</v>
      </c>
      <c r="E18" s="12">
        <f>VLOOKUP(A18,Dataset!$A$2:$T$40,20,0)</f>
        <v>124.4</v>
      </c>
      <c r="F18" s="8">
        <f>VLOOKUP(A18,Dataset!$A$2:$V$40,22,0)</f>
        <v>61.4</v>
      </c>
    </row>
    <row r="19" spans="1:6" ht="14.4" x14ac:dyDescent="0.3">
      <c r="A19" s="7" t="s">
        <v>24</v>
      </c>
      <c r="B19" s="12">
        <f>VLOOKUP(A19,Dataset!$A$2:$G$40,7,0)</f>
        <v>34.700000000000003</v>
      </c>
      <c r="C19" s="12">
        <f>VLOOKUP(A19,Dataset!$A$2:$N$40,14,0)</f>
        <v>106.1</v>
      </c>
      <c r="D19" s="12">
        <f>VLOOKUP(A19,Dataset!$A$2:$R$40,18,0)</f>
        <v>63.6</v>
      </c>
      <c r="E19" s="12">
        <f>VLOOKUP(A19,Dataset!$A$2:$T$40,20,0)</f>
        <v>128.6</v>
      </c>
      <c r="F19" s="8">
        <f>VLOOKUP(A19,Dataset!$A$2:$V$40,22,0)</f>
        <v>63.6</v>
      </c>
    </row>
    <row r="20" spans="1:6" ht="14.4" x14ac:dyDescent="0.3">
      <c r="A20" s="7" t="s">
        <v>28</v>
      </c>
      <c r="B20" s="12">
        <f>VLOOKUP(A20,Dataset!$A$2:$G$40,7,0)</f>
        <v>0</v>
      </c>
      <c r="C20" s="12">
        <f>VLOOKUP(A20,Dataset!$A$2:$N$40,14,0)</f>
        <v>0</v>
      </c>
      <c r="D20" s="12">
        <f>VLOOKUP(A20,Dataset!$A$2:$R$40,18,0)</f>
        <v>0</v>
      </c>
      <c r="E20" s="12">
        <f>VLOOKUP(A20,Dataset!$A$2:$T$40,20,0)</f>
        <v>0</v>
      </c>
      <c r="F20" s="8">
        <f>VLOOKUP(A20,Dataset!$A$2:$V$40,22,0)</f>
        <v>0</v>
      </c>
    </row>
    <row r="21" spans="1:6" ht="14.4" x14ac:dyDescent="0.3">
      <c r="A21" s="7" t="s">
        <v>57</v>
      </c>
      <c r="B21" s="12">
        <f>VLOOKUP(A21,Dataset!$A$2:$G$40,7,0)</f>
        <v>41.3</v>
      </c>
      <c r="C21" s="12">
        <f>VLOOKUP(A21,Dataset!$A$2:$N$40,14,0)</f>
        <v>124.4</v>
      </c>
      <c r="D21" s="12">
        <f>VLOOKUP(A21,Dataset!$A$2:$R$40,18,0)</f>
        <v>75</v>
      </c>
      <c r="E21" s="12">
        <f>VLOOKUP(A21,Dataset!$A$2:$T$40,20,0)</f>
        <v>151.5</v>
      </c>
      <c r="F21" s="8">
        <f>VLOOKUP(A21,Dataset!$A$2:$V$40,22,0)</f>
        <v>75</v>
      </c>
    </row>
    <row r="22" spans="1:6" ht="14.4" x14ac:dyDescent="0.3">
      <c r="A22" s="7" t="s">
        <v>58</v>
      </c>
      <c r="B22" s="12">
        <f>VLOOKUP(A22,Dataset!$A$2:$G$40,7,0)</f>
        <v>-1</v>
      </c>
      <c r="C22" s="12">
        <f>VLOOKUP(A22,Dataset!$A$2:$N$40,14,0)</f>
        <v>-1</v>
      </c>
      <c r="D22" s="12">
        <f>VLOOKUP(A22,Dataset!$A$2:$R$40,18,0)</f>
        <v>-1</v>
      </c>
      <c r="E22" s="12">
        <f>VLOOKUP(A22,Dataset!$A$2:$T$40,20,0)</f>
        <v>-1</v>
      </c>
      <c r="F22" s="8">
        <f>VLOOKUP(A22,Dataset!$A$2:$V$40,22,0)</f>
        <v>-1</v>
      </c>
    </row>
    <row r="23" spans="1:6" ht="14.4" x14ac:dyDescent="0.3">
      <c r="A23" s="7" t="s">
        <v>31</v>
      </c>
      <c r="B23" s="12">
        <f>VLOOKUP(A23,Dataset!$A$2:$G$40,7,0)</f>
        <v>45</v>
      </c>
      <c r="C23" s="12">
        <f>VLOOKUP(A23,Dataset!$A$2:$N$40,14,0)</f>
        <v>133.4</v>
      </c>
      <c r="D23" s="12">
        <f>VLOOKUP(A23,Dataset!$A$2:$R$40,18,0)</f>
        <v>79.400000000000006</v>
      </c>
      <c r="E23" s="12">
        <f>VLOOKUP(A23,Dataset!$A$2:$T$40,20,0)</f>
        <v>160.9</v>
      </c>
      <c r="F23" s="8">
        <f>VLOOKUP(A23,Dataset!$A$2:$V$40,22,0)</f>
        <v>79.400000000000006</v>
      </c>
    </row>
    <row r="24" spans="1:6" ht="14.4" x14ac:dyDescent="0.3">
      <c r="A24" s="7" t="s">
        <v>32</v>
      </c>
      <c r="B24" s="12">
        <f>VLOOKUP(A24,Dataset!$A$2:$G$40,7,0)</f>
        <v>-1</v>
      </c>
      <c r="C24" s="12">
        <f>VLOOKUP(A24,Dataset!$A$2:$N$40,14,0)</f>
        <v>-1</v>
      </c>
      <c r="D24" s="12">
        <f>VLOOKUP(A24,Dataset!$A$2:$R$40,18,0)</f>
        <v>-1</v>
      </c>
      <c r="E24" s="12">
        <f>VLOOKUP(A24,Dataset!$A$2:$T$40,20,0)</f>
        <v>-1</v>
      </c>
      <c r="F24" s="8">
        <f>VLOOKUP(A24,Dataset!$A$2:$V$40,22,0)</f>
        <v>-1</v>
      </c>
    </row>
    <row r="25" spans="1:6" ht="14.4" x14ac:dyDescent="0.3">
      <c r="A25" s="7" t="s">
        <v>34</v>
      </c>
      <c r="B25" s="12">
        <f>VLOOKUP(A25,Dataset!$A$2:$G$40,7,0)</f>
        <v>43.3</v>
      </c>
      <c r="C25" s="12">
        <f>VLOOKUP(A25,Dataset!$A$2:$N$40,14,0)</f>
        <v>128.6</v>
      </c>
      <c r="D25" s="12">
        <f>VLOOKUP(A25,Dataset!$A$2:$R$40,18,0)</f>
        <v>79.400000000000006</v>
      </c>
      <c r="E25" s="12">
        <f>VLOOKUP(A25,Dataset!$A$2:$T$40,20,0)</f>
        <v>160.9</v>
      </c>
      <c r="F25" s="8">
        <f>VLOOKUP(A25,Dataset!$A$2:$V$40,22,0)</f>
        <v>79.400000000000006</v>
      </c>
    </row>
    <row r="26" spans="1:6" ht="14.4" x14ac:dyDescent="0.3">
      <c r="A26" s="7" t="s">
        <v>37</v>
      </c>
      <c r="B26" s="12">
        <f>VLOOKUP(A26,Dataset!$A$2:$G$40,7,0)</f>
        <v>49.1</v>
      </c>
      <c r="C26" s="12">
        <f>VLOOKUP(A26,Dataset!$A$2:$N$40,14,0)</f>
        <v>146.80000000000001</v>
      </c>
      <c r="D26" s="12">
        <f>VLOOKUP(A26,Dataset!$A$2:$R$40,18,0)</f>
        <v>90.9</v>
      </c>
      <c r="E26" s="12">
        <f>VLOOKUP(A26,Dataset!$A$2:$T$40,20,0)</f>
        <v>183.5</v>
      </c>
      <c r="F26" s="8">
        <f>VLOOKUP(A26,Dataset!$A$2:$V$40,22,0)</f>
        <v>90.9</v>
      </c>
    </row>
    <row r="27" spans="1:6" ht="14.4" x14ac:dyDescent="0.3">
      <c r="A27" s="7" t="s">
        <v>39</v>
      </c>
      <c r="B27" s="12">
        <f>VLOOKUP(A27,Dataset!$A$2:$G$40,7,0)</f>
        <v>51.8</v>
      </c>
      <c r="C27" s="12">
        <f>VLOOKUP(A27,Dataset!$A$2:$N$40,14,0)</f>
        <v>156.4</v>
      </c>
      <c r="D27" s="12">
        <f>VLOOKUP(A27,Dataset!$A$2:$R$40,18,0)</f>
        <v>93.1</v>
      </c>
      <c r="E27" s="12">
        <f>VLOOKUP(A27,Dataset!$A$2:$T$40,20,0)</f>
        <v>188.1</v>
      </c>
      <c r="F27" s="8">
        <f>VLOOKUP(A27,Dataset!$A$2:$V$40,22,0)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16" sqref="A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48" t="s">
        <v>181</v>
      </c>
      <c r="C5" s="49"/>
      <c r="D5" s="49"/>
    </row>
    <row r="6" spans="1:10" ht="18" x14ac:dyDescent="0.35">
      <c r="A6" s="42" t="s">
        <v>152</v>
      </c>
      <c r="B6" s="9" t="s">
        <v>178</v>
      </c>
    </row>
    <row r="7" spans="1:10" ht="18" x14ac:dyDescent="0.35">
      <c r="A7" s="42"/>
      <c r="B7" s="39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7">
        <v>20000</v>
      </c>
      <c r="C16" s="13" t="s">
        <v>5</v>
      </c>
      <c r="D16" s="13">
        <v>0</v>
      </c>
      <c r="E16" s="13" t="s">
        <v>6</v>
      </c>
      <c r="F16" s="17">
        <v>24</v>
      </c>
    </row>
    <row r="17" spans="1:6" x14ac:dyDescent="0.3">
      <c r="A17" s="7" t="s">
        <v>121</v>
      </c>
      <c r="B17" s="7">
        <v>20002</v>
      </c>
      <c r="C17" s="12" t="s">
        <v>5</v>
      </c>
      <c r="D17" s="1">
        <v>0</v>
      </c>
      <c r="E17" s="12" t="s">
        <v>6</v>
      </c>
      <c r="F17" s="17">
        <v>24</v>
      </c>
    </row>
    <row r="18" spans="1:6" x14ac:dyDescent="0.3">
      <c r="A18" s="7" t="s">
        <v>122</v>
      </c>
      <c r="B18" s="7">
        <v>20004</v>
      </c>
      <c r="C18" s="12" t="s">
        <v>5</v>
      </c>
      <c r="D18" s="1">
        <v>0</v>
      </c>
      <c r="E18" s="12" t="s">
        <v>6</v>
      </c>
      <c r="F18" s="17">
        <v>24</v>
      </c>
    </row>
    <row r="19" spans="1:6" x14ac:dyDescent="0.3">
      <c r="A19" s="7" t="s">
        <v>123</v>
      </c>
      <c r="B19" s="7">
        <v>20006</v>
      </c>
      <c r="C19" s="12" t="s">
        <v>5</v>
      </c>
      <c r="D19" s="1">
        <v>0</v>
      </c>
      <c r="E19" s="12" t="s">
        <v>6</v>
      </c>
      <c r="F19" s="17">
        <v>24</v>
      </c>
    </row>
    <row r="20" spans="1:6" x14ac:dyDescent="0.3">
      <c r="A20" s="7" t="s">
        <v>124</v>
      </c>
      <c r="B20" s="7">
        <v>20008</v>
      </c>
      <c r="C20" s="12" t="s">
        <v>5</v>
      </c>
      <c r="D20" s="1">
        <v>0</v>
      </c>
      <c r="E20" s="12" t="s">
        <v>6</v>
      </c>
      <c r="F20" s="17">
        <v>24</v>
      </c>
    </row>
    <row r="21" spans="1:6" x14ac:dyDescent="0.3">
      <c r="A21" s="7" t="s">
        <v>125</v>
      </c>
      <c r="B21" s="7">
        <v>20010</v>
      </c>
      <c r="C21" s="12" t="s">
        <v>5</v>
      </c>
      <c r="D21" s="1">
        <v>0</v>
      </c>
      <c r="E21" s="12" t="s">
        <v>6</v>
      </c>
      <c r="F21" s="17">
        <v>24</v>
      </c>
    </row>
    <row r="22" spans="1:6" x14ac:dyDescent="0.3">
      <c r="A22" s="7" t="s">
        <v>126</v>
      </c>
      <c r="B22" s="7">
        <v>20012</v>
      </c>
      <c r="C22" s="12" t="s">
        <v>5</v>
      </c>
      <c r="D22" s="1">
        <v>0</v>
      </c>
      <c r="E22" s="12" t="s">
        <v>6</v>
      </c>
      <c r="F22" s="17">
        <v>24</v>
      </c>
    </row>
    <row r="23" spans="1:6" x14ac:dyDescent="0.3">
      <c r="A23" s="7" t="s">
        <v>127</v>
      </c>
      <c r="B23" s="7">
        <v>20014</v>
      </c>
      <c r="C23" s="12" t="s">
        <v>5</v>
      </c>
      <c r="D23" s="1">
        <v>0</v>
      </c>
      <c r="E23" s="12" t="s">
        <v>6</v>
      </c>
      <c r="F23" s="17">
        <v>24</v>
      </c>
    </row>
    <row r="24" spans="1:6" x14ac:dyDescent="0.3">
      <c r="A24" s="7" t="s">
        <v>128</v>
      </c>
      <c r="B24" s="7">
        <v>20016</v>
      </c>
      <c r="C24" s="12" t="s">
        <v>5</v>
      </c>
      <c r="D24" s="1">
        <v>0</v>
      </c>
      <c r="E24" s="12" t="s">
        <v>6</v>
      </c>
      <c r="F24" s="17">
        <v>24</v>
      </c>
    </row>
    <row r="25" spans="1:6" x14ac:dyDescent="0.3">
      <c r="A25" s="7" t="s">
        <v>129</v>
      </c>
      <c r="B25" s="7">
        <v>20018</v>
      </c>
      <c r="C25" s="12" t="s">
        <v>5</v>
      </c>
      <c r="D25" s="1">
        <v>0</v>
      </c>
      <c r="E25" s="12" t="s">
        <v>6</v>
      </c>
      <c r="F25" s="17">
        <v>24</v>
      </c>
    </row>
    <row r="26" spans="1:6" x14ac:dyDescent="0.3">
      <c r="A26" s="7" t="s">
        <v>130</v>
      </c>
      <c r="B26" s="7">
        <v>20020</v>
      </c>
      <c r="C26" s="12" t="s">
        <v>5</v>
      </c>
      <c r="D26" s="1">
        <v>0</v>
      </c>
      <c r="E26" s="12" t="s">
        <v>6</v>
      </c>
      <c r="F26" s="17">
        <v>24</v>
      </c>
    </row>
    <row r="27" spans="1:6" x14ac:dyDescent="0.3">
      <c r="A27" s="7" t="s">
        <v>131</v>
      </c>
      <c r="B27" s="7">
        <v>20022</v>
      </c>
      <c r="C27" s="12" t="s">
        <v>5</v>
      </c>
      <c r="D27" s="1">
        <v>0</v>
      </c>
      <c r="E27" s="12" t="s">
        <v>6</v>
      </c>
      <c r="F27" s="17">
        <v>24</v>
      </c>
    </row>
    <row r="28" spans="1:6" x14ac:dyDescent="0.3">
      <c r="A28" s="7" t="s">
        <v>132</v>
      </c>
      <c r="B28" s="7">
        <v>20024</v>
      </c>
      <c r="C28" s="12" t="s">
        <v>5</v>
      </c>
      <c r="D28" s="1">
        <v>0</v>
      </c>
      <c r="E28" s="12" t="s">
        <v>6</v>
      </c>
      <c r="F28" s="17">
        <v>24</v>
      </c>
    </row>
    <row r="29" spans="1:6" x14ac:dyDescent="0.3">
      <c r="A29" s="7" t="s">
        <v>133</v>
      </c>
      <c r="B29" s="7">
        <v>20026</v>
      </c>
      <c r="C29" s="12" t="s">
        <v>5</v>
      </c>
      <c r="D29" s="1">
        <v>0</v>
      </c>
      <c r="E29" s="12" t="s">
        <v>6</v>
      </c>
      <c r="F29" s="17">
        <v>24</v>
      </c>
    </row>
    <row r="30" spans="1:6" x14ac:dyDescent="0.3">
      <c r="A30" s="7" t="s">
        <v>134</v>
      </c>
      <c r="B30" s="7">
        <v>20028</v>
      </c>
      <c r="C30" s="12" t="s">
        <v>5</v>
      </c>
      <c r="D30" s="1">
        <v>0</v>
      </c>
      <c r="E30" s="12" t="s">
        <v>6</v>
      </c>
      <c r="F30" s="17">
        <v>24</v>
      </c>
    </row>
    <row r="31" spans="1:6" x14ac:dyDescent="0.3">
      <c r="A31" s="7" t="s">
        <v>135</v>
      </c>
      <c r="B31" s="7">
        <v>20030</v>
      </c>
      <c r="C31" s="12" t="s">
        <v>5</v>
      </c>
      <c r="D31" s="1">
        <v>0</v>
      </c>
      <c r="E31" s="12" t="s">
        <v>6</v>
      </c>
      <c r="F31" s="17">
        <v>24</v>
      </c>
    </row>
    <row r="32" spans="1:6" x14ac:dyDescent="0.3">
      <c r="A32" s="7" t="s">
        <v>136</v>
      </c>
      <c r="B32" s="7">
        <v>20032</v>
      </c>
      <c r="C32" s="12" t="s">
        <v>5</v>
      </c>
      <c r="D32" s="1">
        <v>0</v>
      </c>
      <c r="E32" s="12" t="s">
        <v>6</v>
      </c>
      <c r="F32" s="17">
        <v>24</v>
      </c>
    </row>
    <row r="33" spans="1:6" x14ac:dyDescent="0.3">
      <c r="A33" s="7" t="s">
        <v>137</v>
      </c>
      <c r="B33" s="7">
        <v>20034</v>
      </c>
      <c r="C33" s="12" t="s">
        <v>5</v>
      </c>
      <c r="D33" s="1">
        <v>0</v>
      </c>
      <c r="E33" s="12" t="s">
        <v>6</v>
      </c>
      <c r="F33" s="17">
        <v>24</v>
      </c>
    </row>
    <row r="34" spans="1:6" x14ac:dyDescent="0.3">
      <c r="A34" s="7" t="s">
        <v>138</v>
      </c>
      <c r="B34" s="7">
        <v>20036</v>
      </c>
      <c r="C34" s="12" t="s">
        <v>5</v>
      </c>
      <c r="D34" s="1">
        <v>0</v>
      </c>
      <c r="E34" s="12" t="s">
        <v>6</v>
      </c>
      <c r="F34" s="17">
        <v>24</v>
      </c>
    </row>
    <row r="35" spans="1:6" x14ac:dyDescent="0.3">
      <c r="A35" s="7" t="s">
        <v>139</v>
      </c>
      <c r="B35" s="7">
        <v>20038</v>
      </c>
      <c r="C35" s="12" t="s">
        <v>5</v>
      </c>
      <c r="D35" s="1">
        <v>0</v>
      </c>
      <c r="E35" s="12" t="s">
        <v>6</v>
      </c>
      <c r="F35" s="17">
        <v>24</v>
      </c>
    </row>
    <row r="36" spans="1:6" x14ac:dyDescent="0.3">
      <c r="A36" s="7" t="s">
        <v>140</v>
      </c>
      <c r="B36" s="7">
        <v>20040</v>
      </c>
      <c r="C36" s="12" t="s">
        <v>5</v>
      </c>
      <c r="D36" s="1">
        <v>0</v>
      </c>
      <c r="E36" s="12" t="s">
        <v>6</v>
      </c>
      <c r="F36" s="17">
        <v>24</v>
      </c>
    </row>
    <row r="37" spans="1:6" x14ac:dyDescent="0.3">
      <c r="A37" s="7" t="s">
        <v>141</v>
      </c>
      <c r="B37" s="7">
        <v>20042</v>
      </c>
      <c r="C37" s="12" t="s">
        <v>5</v>
      </c>
      <c r="D37" s="1">
        <v>0</v>
      </c>
      <c r="E37" s="12" t="s">
        <v>6</v>
      </c>
      <c r="F37" s="17">
        <v>24</v>
      </c>
    </row>
    <row r="38" spans="1:6" x14ac:dyDescent="0.3">
      <c r="A38" s="7" t="s">
        <v>142</v>
      </c>
      <c r="B38" s="7">
        <v>20044</v>
      </c>
      <c r="C38" s="12" t="s">
        <v>5</v>
      </c>
      <c r="D38" s="1">
        <v>0</v>
      </c>
      <c r="E38" s="12" t="s">
        <v>6</v>
      </c>
      <c r="F38" s="17">
        <v>24</v>
      </c>
    </row>
    <row r="39" spans="1:6" x14ac:dyDescent="0.3">
      <c r="A39" s="7" t="s">
        <v>143</v>
      </c>
      <c r="B39" s="7">
        <v>20046</v>
      </c>
      <c r="C39" s="12" t="s">
        <v>5</v>
      </c>
      <c r="D39" s="1">
        <v>0</v>
      </c>
      <c r="E39" s="12" t="s">
        <v>6</v>
      </c>
      <c r="F39" s="17">
        <v>24</v>
      </c>
    </row>
    <row r="40" spans="1:6" x14ac:dyDescent="0.3">
      <c r="A40" s="7" t="s">
        <v>144</v>
      </c>
      <c r="B40" s="7">
        <v>20048</v>
      </c>
      <c r="C40" s="12" t="s">
        <v>5</v>
      </c>
      <c r="D40" s="1">
        <v>0</v>
      </c>
      <c r="E40" s="12" t="s">
        <v>6</v>
      </c>
      <c r="F40" s="17">
        <v>24</v>
      </c>
    </row>
    <row r="41" spans="1:6" x14ac:dyDescent="0.3">
      <c r="A41" s="7" t="s">
        <v>145</v>
      </c>
      <c r="B41" s="7">
        <v>20050</v>
      </c>
      <c r="C41" s="12" t="s">
        <v>5</v>
      </c>
      <c r="D41" s="1">
        <v>0</v>
      </c>
      <c r="E41" s="12" t="s">
        <v>6</v>
      </c>
      <c r="F41" s="17">
        <v>24</v>
      </c>
    </row>
    <row r="42" spans="1:6" x14ac:dyDescent="0.3">
      <c r="A42" s="7" t="s">
        <v>146</v>
      </c>
      <c r="B42" s="7">
        <v>20052</v>
      </c>
      <c r="C42" s="12" t="s">
        <v>5</v>
      </c>
      <c r="D42" s="1">
        <v>0</v>
      </c>
      <c r="E42" s="12" t="s">
        <v>6</v>
      </c>
      <c r="F42" s="17">
        <v>24</v>
      </c>
    </row>
    <row r="43" spans="1:6" x14ac:dyDescent="0.3">
      <c r="A43" s="7" t="s">
        <v>147</v>
      </c>
      <c r="B43" s="7">
        <v>20054</v>
      </c>
      <c r="C43" s="12" t="s">
        <v>5</v>
      </c>
      <c r="D43" s="1">
        <v>0</v>
      </c>
      <c r="E43" s="12" t="s">
        <v>6</v>
      </c>
      <c r="F43" s="17">
        <v>24</v>
      </c>
    </row>
    <row r="44" spans="1:6" x14ac:dyDescent="0.3">
      <c r="A44" s="7" t="s">
        <v>148</v>
      </c>
      <c r="B44" s="7">
        <v>20058</v>
      </c>
      <c r="C44" s="12" t="s">
        <v>5</v>
      </c>
      <c r="D44" s="1">
        <v>0</v>
      </c>
      <c r="E44" s="12" t="s">
        <v>6</v>
      </c>
      <c r="F44" s="17">
        <v>24</v>
      </c>
    </row>
    <row r="45" spans="1:6" x14ac:dyDescent="0.3">
      <c r="A45" s="7" t="s">
        <v>149</v>
      </c>
      <c r="B45" s="7">
        <v>20060</v>
      </c>
      <c r="C45" s="12" t="s">
        <v>5</v>
      </c>
      <c r="D45" s="1">
        <v>0</v>
      </c>
      <c r="E45" s="12" t="s">
        <v>6</v>
      </c>
      <c r="F45" s="17">
        <v>24</v>
      </c>
    </row>
    <row r="46" spans="1:6" x14ac:dyDescent="0.3">
      <c r="A46" s="7" t="s">
        <v>111</v>
      </c>
      <c r="B46" s="7">
        <v>21000</v>
      </c>
      <c r="C46" s="12" t="s">
        <v>5</v>
      </c>
      <c r="D46" s="1">
        <v>0</v>
      </c>
      <c r="E46" s="12" t="s">
        <v>6</v>
      </c>
      <c r="F46" s="17">
        <v>24</v>
      </c>
    </row>
    <row r="47" spans="1:6" x14ac:dyDescent="0.3">
      <c r="A47" s="7" t="s">
        <v>112</v>
      </c>
      <c r="B47" s="7">
        <v>21002</v>
      </c>
      <c r="C47" s="12" t="s">
        <v>5</v>
      </c>
      <c r="D47" s="1">
        <v>0</v>
      </c>
      <c r="E47" s="12" t="s">
        <v>6</v>
      </c>
      <c r="F47" s="17">
        <v>24</v>
      </c>
    </row>
    <row r="48" spans="1:6" x14ac:dyDescent="0.3">
      <c r="A48" s="7" t="s">
        <v>113</v>
      </c>
      <c r="B48" s="7">
        <v>21004</v>
      </c>
      <c r="C48" s="12" t="s">
        <v>5</v>
      </c>
      <c r="D48" s="1">
        <v>0</v>
      </c>
      <c r="E48" s="12" t="s">
        <v>6</v>
      </c>
      <c r="F48" s="17">
        <v>24</v>
      </c>
    </row>
    <row r="49" spans="1:6" x14ac:dyDescent="0.3">
      <c r="A49" s="7" t="s">
        <v>114</v>
      </c>
      <c r="B49" s="7">
        <v>21006</v>
      </c>
      <c r="C49" s="12" t="s">
        <v>5</v>
      </c>
      <c r="D49" s="1">
        <v>0</v>
      </c>
      <c r="E49" s="12" t="s">
        <v>6</v>
      </c>
      <c r="F49" s="17">
        <v>24</v>
      </c>
    </row>
    <row r="50" spans="1:6" x14ac:dyDescent="0.3">
      <c r="A50" s="7" t="s">
        <v>115</v>
      </c>
      <c r="B50" s="7">
        <v>21008</v>
      </c>
      <c r="C50" s="12" t="s">
        <v>5</v>
      </c>
      <c r="D50" s="1">
        <v>0</v>
      </c>
      <c r="E50" s="12" t="s">
        <v>6</v>
      </c>
      <c r="F50" s="17">
        <v>24</v>
      </c>
    </row>
    <row r="51" spans="1:6" x14ac:dyDescent="0.3">
      <c r="A51" s="7" t="s">
        <v>116</v>
      </c>
      <c r="B51" s="7">
        <v>21010</v>
      </c>
      <c r="C51" s="12" t="s">
        <v>5</v>
      </c>
      <c r="D51" s="1">
        <v>0</v>
      </c>
      <c r="E51" s="12" t="s">
        <v>6</v>
      </c>
      <c r="F51" s="17">
        <v>24</v>
      </c>
    </row>
    <row r="52" spans="1:6" x14ac:dyDescent="0.3">
      <c r="A52" s="7" t="s">
        <v>117</v>
      </c>
      <c r="B52" s="7">
        <v>21012</v>
      </c>
      <c r="C52" s="12" t="s">
        <v>5</v>
      </c>
      <c r="D52" s="1">
        <v>0</v>
      </c>
      <c r="E52" s="12" t="s">
        <v>6</v>
      </c>
      <c r="F52" s="17">
        <v>24</v>
      </c>
    </row>
    <row r="53" spans="1:6" x14ac:dyDescent="0.3">
      <c r="A53" s="7" t="s">
        <v>118</v>
      </c>
      <c r="B53" s="7">
        <v>21014</v>
      </c>
      <c r="C53" s="12" t="s">
        <v>5</v>
      </c>
      <c r="D53" s="1">
        <v>0</v>
      </c>
      <c r="E53" s="12" t="s">
        <v>6</v>
      </c>
      <c r="F53" s="17">
        <v>24</v>
      </c>
    </row>
    <row r="54" spans="1:6" x14ac:dyDescent="0.3">
      <c r="A54" s="9" t="s">
        <v>119</v>
      </c>
      <c r="B54" s="9">
        <v>21016</v>
      </c>
      <c r="C54" s="13" t="s">
        <v>5</v>
      </c>
      <c r="D54" s="10">
        <v>0</v>
      </c>
      <c r="E54" s="13" t="s">
        <v>6</v>
      </c>
      <c r="F54" s="17">
        <v>24</v>
      </c>
    </row>
  </sheetData>
  <mergeCells count="1">
    <mergeCell ref="B5:D5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28.109375" style="2" bestFit="1" customWidth="1"/>
    <col min="2" max="2" width="24.6640625" style="2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44140625" style="2" bestFit="1" customWidth="1"/>
    <col min="7" max="8" width="14.441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7" width="12.44140625" style="2" bestFit="1" customWidth="1"/>
    <col min="18" max="18" width="24.109375" style="2" bestFit="1" customWidth="1"/>
    <col min="19" max="19" width="12.441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9" ht="21" x14ac:dyDescent="0.4">
      <c r="A1" s="41" t="s">
        <v>85</v>
      </c>
      <c r="B1" s="40" t="s">
        <v>166</v>
      </c>
    </row>
    <row r="2" spans="1:9" ht="18" x14ac:dyDescent="0.35">
      <c r="B2" s="39" t="s">
        <v>165</v>
      </c>
    </row>
    <row r="5" spans="1:9" ht="14.4" x14ac:dyDescent="0.3">
      <c r="B5" s="1" t="s">
        <v>150</v>
      </c>
    </row>
    <row r="6" spans="1:9" ht="14.4" x14ac:dyDescent="0.3">
      <c r="A6" s="3" t="s">
        <v>53</v>
      </c>
      <c r="B6" s="3" t="s">
        <v>182</v>
      </c>
    </row>
    <row r="7" spans="1:9" ht="14.4" x14ac:dyDescent="0.3">
      <c r="A7" s="3" t="s">
        <v>152</v>
      </c>
      <c r="B7" s="51" t="s">
        <v>183</v>
      </c>
      <c r="C7" s="51"/>
      <c r="D7" s="51"/>
      <c r="E7" s="51"/>
      <c r="F7" s="51"/>
      <c r="G7" s="51"/>
      <c r="H7" s="51"/>
      <c r="I7" s="51"/>
    </row>
    <row r="10" spans="1:9" ht="23.4" x14ac:dyDescent="0.45">
      <c r="A10" s="18" t="s">
        <v>161</v>
      </c>
    </row>
    <row r="11" spans="1:9" ht="14.4" x14ac:dyDescent="0.3">
      <c r="A11" s="32" t="s">
        <v>86</v>
      </c>
      <c r="B11" s="17" t="s">
        <v>87</v>
      </c>
      <c r="C11" s="17" t="s">
        <v>88</v>
      </c>
    </row>
    <row r="12" spans="1:9" ht="14.4" x14ac:dyDescent="0.3">
      <c r="A12" s="32">
        <v>44927</v>
      </c>
      <c r="B12" s="17" t="s">
        <v>59</v>
      </c>
      <c r="C12" s="17">
        <v>200</v>
      </c>
    </row>
    <row r="13" spans="1:9" ht="14.4" x14ac:dyDescent="0.3">
      <c r="A13" s="32">
        <v>44928</v>
      </c>
      <c r="B13" s="17" t="s">
        <v>60</v>
      </c>
      <c r="C13" s="17" t="e">
        <v>#N/A</v>
      </c>
    </row>
    <row r="14" spans="1:9" ht="14.4" x14ac:dyDescent="0.3">
      <c r="A14" s="32">
        <v>44929</v>
      </c>
      <c r="B14" s="17" t="s">
        <v>61</v>
      </c>
      <c r="C14" s="17">
        <v>50</v>
      </c>
    </row>
    <row r="15" spans="1:9" ht="14.4" x14ac:dyDescent="0.3">
      <c r="A15" s="32">
        <v>44930</v>
      </c>
      <c r="B15" s="17" t="s">
        <v>62</v>
      </c>
      <c r="C15" s="17" t="e">
        <v>#N/A</v>
      </c>
    </row>
    <row r="16" spans="1:9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6" cm="1">
        <f t="array" ref="C22">SUM(IFERROR(C12:C21,20))</f>
        <v>600</v>
      </c>
    </row>
  </sheetData>
  <mergeCells count="1">
    <mergeCell ref="B7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R35"/>
  <sheetViews>
    <sheetView zoomScale="98" zoomScaleNormal="100" workbookViewId="0">
      <selection activeCell="C26" sqref="C26"/>
    </sheetView>
  </sheetViews>
  <sheetFormatPr defaultColWidth="11" defaultRowHeight="13.8" x14ac:dyDescent="0.3"/>
  <cols>
    <col min="1" max="1" width="21.77734375" style="2" customWidth="1"/>
    <col min="2" max="16384" width="11" style="2"/>
  </cols>
  <sheetData>
    <row r="1" spans="1:18" ht="21" x14ac:dyDescent="0.4">
      <c r="A1" s="41" t="s">
        <v>98</v>
      </c>
      <c r="B1" s="40" t="s">
        <v>174</v>
      </c>
    </row>
    <row r="3" spans="1:18" ht="14.4" x14ac:dyDescent="0.3">
      <c r="B3" s="1" t="s">
        <v>150</v>
      </c>
    </row>
    <row r="4" spans="1:18" ht="18" x14ac:dyDescent="0.35">
      <c r="A4" s="42" t="s">
        <v>53</v>
      </c>
      <c r="B4" s="1"/>
      <c r="C4" s="2" t="s">
        <v>179</v>
      </c>
    </row>
    <row r="5" spans="1:18" ht="18" customHeight="1" x14ac:dyDescent="0.35">
      <c r="A5" s="42" t="s">
        <v>152</v>
      </c>
      <c r="B5" s="1"/>
      <c r="C5" s="55" t="s">
        <v>180</v>
      </c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ht="14.4" x14ac:dyDescent="0.3">
      <c r="A6" s="3"/>
      <c r="B6" s="1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</row>
    <row r="7" spans="1:18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</row>
    <row r="8" spans="1:18" ht="23.4" x14ac:dyDescent="0.45">
      <c r="A8" s="18" t="s">
        <v>161</v>
      </c>
      <c r="M8" s="18" t="s">
        <v>162</v>
      </c>
    </row>
    <row r="9" spans="1:18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8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8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8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8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8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8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8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7" cm="1">
        <f t="array" ref="C23">_xlfn.XLOOKUP(VLOOKUP(A23,$M$10:$N$18,2,0),$A$10:$A$18,_xlfn.XLOOKUP(VLOOKUP(B23,$M$10:$N$18,2,0),$B$9:$J$9,$B$10:$J$18))</f>
        <v>95</v>
      </c>
      <c r="I23" s="1"/>
      <c r="J23" s="1"/>
      <c r="L23" s="1"/>
      <c r="M23" s="1"/>
    </row>
    <row r="24" spans="1:14" ht="14.4" x14ac:dyDescent="0.3">
      <c r="A24" s="7">
        <v>10100</v>
      </c>
      <c r="B24" s="12">
        <v>10104</v>
      </c>
      <c r="C24" s="47" cm="1">
        <f t="array" ref="C24">_xlfn.XLOOKUP(VLOOKUP(A24,$M$10:$N$18,2,0),$A$10:$A$18,_xlfn.XLOOKUP(VLOOKUP(B24,$M$10:$N$18,2,0),$B$9:$J$9,$B$10:$J$18))</f>
        <v>-1</v>
      </c>
      <c r="I24" s="1"/>
      <c r="J24" s="1"/>
      <c r="L24" s="1"/>
      <c r="M24" s="1"/>
    </row>
    <row r="25" spans="1:14" ht="14.4" x14ac:dyDescent="0.3">
      <c r="A25" s="7">
        <v>10108</v>
      </c>
      <c r="B25" s="12">
        <v>10102</v>
      </c>
      <c r="C25" s="47" cm="1">
        <f t="array" ref="C25">_xlfn.XLOOKUP(VLOOKUP(A25,$M$10:$N$18,2,0),$A$10:$A$18,_xlfn.XLOOKUP(VLOOKUP(B25,$M$10:$N$18,2,0),$B$9:$J$9,$B$10:$J$18))</f>
        <v>160</v>
      </c>
      <c r="I25" s="1"/>
      <c r="J25" s="1"/>
      <c r="L25" s="1"/>
      <c r="M25" s="1"/>
    </row>
    <row r="26" spans="1:14" ht="14.4" x14ac:dyDescent="0.3">
      <c r="A26" s="7">
        <v>10100</v>
      </c>
      <c r="B26" s="12">
        <v>10106</v>
      </c>
      <c r="C26" s="47" cm="1">
        <f t="array" ref="C26">_xlfn.XLOOKUP(VLOOKUP(A26,$M$10:$N$18,2,0),$A$10:$A$18,_xlfn.XLOOKUP(VLOOKUP(B26,$M$10:$N$18,2,0),$B$9:$J$9,$B$10:$J$18))</f>
        <v>185</v>
      </c>
      <c r="I26" s="1"/>
      <c r="J26" s="1"/>
      <c r="L26" s="1"/>
      <c r="M26" s="1"/>
    </row>
    <row r="27" spans="1:14" ht="14.4" x14ac:dyDescent="0.3">
      <c r="A27" s="7">
        <v>10108</v>
      </c>
      <c r="B27" s="12">
        <v>10110</v>
      </c>
      <c r="C27" s="47" cm="1">
        <f t="array" ref="C27">_xlfn.XLOOKUP(VLOOKUP(A27,$M$10:$N$18,2,0),$A$10:$A$18,_xlfn.XLOOKUP(VLOOKUP(B27,$M$10:$N$18,2,0),$B$9:$J$9,$B$10:$J$18))</f>
        <v>50</v>
      </c>
      <c r="I27" s="1"/>
      <c r="J27" s="1"/>
      <c r="L27" s="1"/>
      <c r="M27" s="1"/>
    </row>
    <row r="28" spans="1:14" ht="14.4" x14ac:dyDescent="0.3">
      <c r="A28" s="7">
        <v>10102</v>
      </c>
      <c r="B28" s="12">
        <v>10104</v>
      </c>
      <c r="C28" s="47" cm="1">
        <f t="array" ref="C28">_xlfn.XLOOKUP(VLOOKUP(A28,$M$10:$N$18,2,0),$A$10:$A$18,_xlfn.XLOOKUP(VLOOKUP(B28,$M$10:$N$18,2,0),$B$9:$J$9,$B$10:$J$18))</f>
        <v>-1</v>
      </c>
      <c r="I28" s="1"/>
      <c r="J28" s="1"/>
      <c r="L28" s="1"/>
      <c r="M28" s="1"/>
    </row>
    <row r="29" spans="1:14" ht="14.4" x14ac:dyDescent="0.3">
      <c r="A29" s="7">
        <v>10106</v>
      </c>
      <c r="B29" s="12">
        <v>10108</v>
      </c>
      <c r="C29" s="47" cm="1">
        <f t="array" ref="C29">_xlfn.XLOOKUP(VLOOKUP(A29,$M$10:$N$18,2,0),$A$10:$A$18,_xlfn.XLOOKUP(VLOOKUP(B29,$M$10:$N$18,2,0),$B$9:$J$9,$B$10:$J$18))</f>
        <v>70</v>
      </c>
      <c r="I29" s="1"/>
      <c r="J29" s="1"/>
      <c r="L29" s="1"/>
      <c r="M29" s="1"/>
    </row>
    <row r="30" spans="1:14" ht="14.4" x14ac:dyDescent="0.3">
      <c r="A30" s="7">
        <v>10102</v>
      </c>
      <c r="B30" s="12">
        <v>10106</v>
      </c>
      <c r="C30" s="47" cm="1">
        <f t="array" ref="C30">_xlfn.XLOOKUP(VLOOKUP(A30,$M$10:$N$18,2,0),$A$10:$A$18,_xlfn.XLOOKUP(VLOOKUP(B30,$M$10:$N$18,2,0),$B$9:$J$9,$B$10:$J$18))</f>
        <v>90</v>
      </c>
      <c r="I30" s="1"/>
      <c r="J30" s="1"/>
      <c r="L30" s="1"/>
      <c r="M30" s="1"/>
    </row>
    <row r="31" spans="1:14" ht="14.4" x14ac:dyDescent="0.3">
      <c r="A31" s="7">
        <v>10110</v>
      </c>
      <c r="B31" s="12">
        <v>10114</v>
      </c>
      <c r="C31" s="47" cm="1">
        <f t="array" ref="C31">_xlfn.XLOOKUP(VLOOKUP(A31,$M$10:$N$18,2,0),$A$10:$A$18,_xlfn.XLOOKUP(VLOOKUP(B31,$M$10:$N$18,2,0),$B$9:$J$9,$B$10:$J$18))</f>
        <v>180</v>
      </c>
      <c r="I31" s="1"/>
      <c r="J31" s="1"/>
      <c r="L31" s="1"/>
      <c r="M31" s="1"/>
    </row>
    <row r="32" spans="1:14" ht="14.4" x14ac:dyDescent="0.3">
      <c r="A32" s="7">
        <v>10104</v>
      </c>
      <c r="B32" s="12">
        <v>10106</v>
      </c>
      <c r="C32" s="47" cm="1">
        <f t="array" ref="C32">_xlfn.XLOOKUP(VLOOKUP(A32,$M$10:$N$18,2,0),$A$10:$A$18,_xlfn.XLOOKUP(VLOOKUP(B32,$M$10:$N$18,2,0),$B$9:$J$9,$B$10:$J$18))</f>
        <v>60</v>
      </c>
      <c r="I32" s="1"/>
      <c r="J32" s="1"/>
    </row>
    <row r="33" spans="1:10" ht="14.4" x14ac:dyDescent="0.3">
      <c r="A33" s="7">
        <v>10110</v>
      </c>
      <c r="B33" s="12">
        <v>10112</v>
      </c>
      <c r="C33" s="47" cm="1">
        <f t="array" ref="C33">_xlfn.XLOOKUP(VLOOKUP(A33,$M$10:$N$18,2,0),$A$10:$A$18,_xlfn.XLOOKUP(VLOOKUP(B33,$M$10:$N$18,2,0),$B$9:$J$9,$B$10:$J$18))</f>
        <v>115</v>
      </c>
      <c r="I33" s="1"/>
      <c r="J33" s="1"/>
    </row>
    <row r="34" spans="1:10" ht="14.4" x14ac:dyDescent="0.3">
      <c r="A34" s="7">
        <v>10100</v>
      </c>
      <c r="B34" s="12">
        <v>10114</v>
      </c>
      <c r="C34" s="47" cm="1">
        <f t="array" ref="C34">_xlfn.XLOOKUP(VLOOKUP(A34,$M$10:$N$18,2,0),$A$10:$A$18,_xlfn.XLOOKUP(VLOOKUP(B34,$M$10:$N$18,2,0),$B$9:$J$9,$B$10:$J$18))</f>
        <v>480</v>
      </c>
      <c r="I34" s="1"/>
      <c r="J34" s="1"/>
    </row>
    <row r="35" spans="1:10" ht="14.4" x14ac:dyDescent="0.3">
      <c r="A35" s="9">
        <v>10112</v>
      </c>
      <c r="B35" s="13">
        <v>10116</v>
      </c>
      <c r="C35" s="47" cm="1">
        <f t="array" ref="C35">_xlfn.XLOOKUP(VLOOKUP(A35,$M$10:$N$18,2,0),$A$10:$A$18,_xlfn.XLOOKUP(VLOOKUP(B35,$M$10:$N$18,2,0),$B$9:$J$9,$B$10:$J$18))</f>
        <v>105</v>
      </c>
      <c r="I35" s="1"/>
      <c r="J35" s="1"/>
    </row>
  </sheetData>
  <mergeCells count="1">
    <mergeCell ref="C5:R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Harsh Jalan</cp:lastModifiedBy>
  <dcterms:created xsi:type="dcterms:W3CDTF">2015-02-10T17:33:11Z</dcterms:created>
  <dcterms:modified xsi:type="dcterms:W3CDTF">2023-12-09T19:56:24Z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540963-e559-4020-8a90-fe8a502c2801_Enabled">
    <vt:lpwstr>true</vt:lpwstr>
  </property>
  <property fmtid="{D5CDD505-2E9C-101B-9397-08002B2CF9AE}" pid="3" name="MSIP_Label_19540963-e559-4020-8a90-fe8a502c2801_SetDate">
    <vt:lpwstr>2023-12-09T06:56:13Z</vt:lpwstr>
  </property>
  <property fmtid="{D5CDD505-2E9C-101B-9397-08002B2CF9AE}" pid="4" name="MSIP_Label_19540963-e559-4020-8a90-fe8a502c2801_Method">
    <vt:lpwstr>Standard</vt:lpwstr>
  </property>
  <property fmtid="{D5CDD505-2E9C-101B-9397-08002B2CF9AE}" pid="5" name="MSIP_Label_19540963-e559-4020-8a90-fe8a502c2801_Name">
    <vt:lpwstr>19540963-e559-4020-8a90-fe8a502c2801</vt:lpwstr>
  </property>
  <property fmtid="{D5CDD505-2E9C-101B-9397-08002B2CF9AE}" pid="6" name="MSIP_Label_19540963-e559-4020-8a90-fe8a502c2801_SiteId">
    <vt:lpwstr>f25493ae-1c98-41d7-8a33-0be75f5fe603</vt:lpwstr>
  </property>
  <property fmtid="{D5CDD505-2E9C-101B-9397-08002B2CF9AE}" pid="7" name="MSIP_Label_19540963-e559-4020-8a90-fe8a502c2801_ActionId">
    <vt:lpwstr>23680854-9f6f-4c0b-b939-d8075c7a72ab</vt:lpwstr>
  </property>
  <property fmtid="{D5CDD505-2E9C-101B-9397-08002B2CF9AE}" pid="8" name="MSIP_Label_19540963-e559-4020-8a90-fe8a502c2801_ContentBits">
    <vt:lpwstr>0</vt:lpwstr>
  </property>
</Properties>
</file>